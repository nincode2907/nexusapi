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\dev\projects\nexusapi\"/>
    </mc:Choice>
  </mc:AlternateContent>
  <xr:revisionPtr revIDLastSave="0" documentId="13_ncr:1_{BBF1A892-FF59-4B38-836F-DF9BB1A8476D}" xr6:coauthVersionLast="47" xr6:coauthVersionMax="47" xr10:uidLastSave="{00000000-0000-0000-0000-000000000000}"/>
  <bookViews>
    <workbookView xWindow="-108" yWindow="-108" windowWidth="23256" windowHeight="12456" activeTab="1" xr2:uid="{16243A16-D9D0-4BAA-BB81-C043C32BFA9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" i="2"/>
  <c r="J3" i="2"/>
  <c r="N2" i="2"/>
  <c r="O2" i="2"/>
  <c r="L6" i="2"/>
  <c r="O6" i="2" s="1"/>
  <c r="L8" i="2"/>
  <c r="O8" i="2" s="1"/>
  <c r="L9" i="2"/>
  <c r="O9" i="2" s="1"/>
  <c r="L10" i="2"/>
  <c r="O10" i="2" s="1"/>
  <c r="L12" i="2"/>
  <c r="O12" i="2" s="1"/>
  <c r="L13" i="2"/>
  <c r="O13" i="2" s="1"/>
  <c r="L14" i="2"/>
  <c r="O14" i="2" s="1"/>
  <c r="K4" i="2"/>
  <c r="N4" i="2" s="1"/>
  <c r="K5" i="2"/>
  <c r="N5" i="2" s="1"/>
  <c r="K6" i="2"/>
  <c r="N6" i="2" s="1"/>
  <c r="K7" i="2"/>
  <c r="N7" i="2" s="1"/>
  <c r="K8" i="2"/>
  <c r="N8" i="2" s="1"/>
  <c r="K10" i="2"/>
  <c r="N10" i="2" s="1"/>
  <c r="K20" i="2"/>
  <c r="N20" i="2" s="1"/>
  <c r="K2" i="2"/>
  <c r="J2" i="2"/>
  <c r="J4" i="2"/>
  <c r="R4" i="2" s="1"/>
  <c r="J5" i="2"/>
  <c r="R5" i="2" s="1"/>
  <c r="J6" i="2"/>
  <c r="R6" i="2" s="1"/>
  <c r="J7" i="2"/>
  <c r="R7" i="2" s="1"/>
  <c r="J8" i="2"/>
  <c r="R8" i="2" s="1"/>
  <c r="J19" i="2"/>
  <c r="R19" i="2" s="1"/>
  <c r="J20" i="2"/>
  <c r="R20" i="2" s="1"/>
  <c r="I3" i="2"/>
  <c r="L3" i="2" s="1"/>
  <c r="I4" i="2"/>
  <c r="L4" i="2" s="1"/>
  <c r="O4" i="2" s="1"/>
  <c r="I5" i="2"/>
  <c r="L5" i="2" s="1"/>
  <c r="O5" i="2" s="1"/>
  <c r="I6" i="2"/>
  <c r="I7" i="2"/>
  <c r="L7" i="2" s="1"/>
  <c r="O7" i="2" s="1"/>
  <c r="I8" i="2"/>
  <c r="I9" i="2"/>
  <c r="I10" i="2"/>
  <c r="I11" i="2"/>
  <c r="L11" i="2" s="1"/>
  <c r="O11" i="2" s="1"/>
  <c r="I12" i="2"/>
  <c r="I13" i="2"/>
  <c r="I14" i="2"/>
  <c r="I15" i="2"/>
  <c r="L15" i="2" s="1"/>
  <c r="O15" i="2" s="1"/>
  <c r="I16" i="2"/>
  <c r="L16" i="2" s="1"/>
  <c r="O16" i="2" s="1"/>
  <c r="I17" i="2"/>
  <c r="L17" i="2" s="1"/>
  <c r="O17" i="2" s="1"/>
  <c r="I18" i="2"/>
  <c r="L18" i="2" s="1"/>
  <c r="O18" i="2" s="1"/>
  <c r="I19" i="2"/>
  <c r="L19" i="2" s="1"/>
  <c r="O19" i="2" s="1"/>
  <c r="I20" i="2"/>
  <c r="L20" i="2" s="1"/>
  <c r="O20" i="2" s="1"/>
  <c r="H3" i="2"/>
  <c r="K3" i="2" s="1"/>
  <c r="N3" i="2" s="1"/>
  <c r="H4" i="2"/>
  <c r="H5" i="2"/>
  <c r="H6" i="2"/>
  <c r="H7" i="2"/>
  <c r="H8" i="2"/>
  <c r="H9" i="2"/>
  <c r="K9" i="2" s="1"/>
  <c r="N9" i="2" s="1"/>
  <c r="H10" i="2"/>
  <c r="H11" i="2"/>
  <c r="K11" i="2" s="1"/>
  <c r="N11" i="2" s="1"/>
  <c r="H12" i="2"/>
  <c r="K12" i="2" s="1"/>
  <c r="N12" i="2" s="1"/>
  <c r="H13" i="2"/>
  <c r="K13" i="2" s="1"/>
  <c r="N13" i="2" s="1"/>
  <c r="H14" i="2"/>
  <c r="K14" i="2" s="1"/>
  <c r="N14" i="2" s="1"/>
  <c r="H15" i="2"/>
  <c r="K15" i="2" s="1"/>
  <c r="N15" i="2" s="1"/>
  <c r="H16" i="2"/>
  <c r="K16" i="2" s="1"/>
  <c r="N16" i="2" s="1"/>
  <c r="H17" i="2"/>
  <c r="K17" i="2" s="1"/>
  <c r="N17" i="2" s="1"/>
  <c r="H18" i="2"/>
  <c r="K18" i="2" s="1"/>
  <c r="N18" i="2" s="1"/>
  <c r="H19" i="2"/>
  <c r="K19" i="2" s="1"/>
  <c r="N19" i="2" s="1"/>
  <c r="H20" i="2"/>
  <c r="G3" i="2"/>
  <c r="G4" i="2"/>
  <c r="G5" i="2"/>
  <c r="G6" i="2"/>
  <c r="G7" i="2"/>
  <c r="G8" i="2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G19" i="2"/>
  <c r="G20" i="2"/>
  <c r="H2" i="2"/>
  <c r="G2" i="2"/>
  <c r="C5" i="1"/>
  <c r="C6" i="1"/>
  <c r="E6" i="1" s="1"/>
  <c r="F6" i="1" s="1"/>
  <c r="C7" i="1"/>
  <c r="E7" i="1" s="1"/>
  <c r="F7" i="1" s="1"/>
  <c r="I2" i="2"/>
  <c r="L2" i="2" s="1"/>
  <c r="F4" i="1"/>
  <c r="E5" i="1"/>
  <c r="F5" i="1" s="1"/>
  <c r="E4" i="1"/>
  <c r="C4" i="1"/>
  <c r="M18" i="2" l="1"/>
  <c r="R18" i="2"/>
  <c r="M17" i="2"/>
  <c r="R17" i="2"/>
  <c r="M16" i="2"/>
  <c r="R16" i="2"/>
  <c r="M15" i="2"/>
  <c r="R15" i="2"/>
  <c r="M14" i="2"/>
  <c r="R14" i="2"/>
  <c r="R13" i="2"/>
  <c r="M13" i="2"/>
  <c r="M12" i="2"/>
  <c r="R12" i="2"/>
  <c r="R11" i="2"/>
  <c r="M11" i="2"/>
  <c r="M10" i="2"/>
  <c r="R10" i="2"/>
  <c r="R9" i="2"/>
  <c r="M9" i="2"/>
  <c r="M8" i="2"/>
  <c r="M7" i="2"/>
  <c r="M5" i="2"/>
  <c r="M20" i="2"/>
  <c r="M4" i="2"/>
  <c r="M19" i="2"/>
  <c r="M6" i="2"/>
  <c r="R3" i="2"/>
  <c r="M3" i="2"/>
  <c r="Q3" i="2" s="1"/>
  <c r="M2" i="2"/>
  <c r="R2" i="2"/>
</calcChain>
</file>

<file path=xl/sharedStrings.xml><?xml version="1.0" encoding="utf-8"?>
<sst xmlns="http://schemas.openxmlformats.org/spreadsheetml/2006/main" count="52" uniqueCount="34">
  <si>
    <t>Tên Gói</t>
  </si>
  <si>
    <t>Tiền Khách Nạp (VNĐ)</t>
  </si>
  <si>
    <t>Credit Gốc</t>
  </si>
  <si>
    <t>Bonus (%)</t>
  </si>
  <si>
    <t>Tổng Credit Khách Nhận</t>
  </si>
  <si>
    <t>Giá Trị Thực (VNĐ/1 Credit)</t>
  </si>
  <si>
    <t>Trải nghiệm</t>
  </si>
  <si>
    <t>Tiêu chuẩn</t>
  </si>
  <si>
    <t>Pro</t>
  </si>
  <si>
    <t>Doanh nghiệp</t>
  </si>
  <si>
    <t>Tỷ giá USD/VNĐ</t>
  </si>
  <si>
    <t>Tỷ giá Credit gốc</t>
  </si>
  <si>
    <t>Tức là 1 Credit = 25 VNĐ</t>
  </si>
  <si>
    <t>Model ID</t>
  </si>
  <si>
    <t>Hệ số lãi</t>
  </si>
  <si>
    <t>NCC</t>
  </si>
  <si>
    <t>gpt-4o-mini</t>
  </si>
  <si>
    <t>OpenAI</t>
  </si>
  <si>
    <t>priceInPerToken</t>
  </si>
  <si>
    <t>priceOutPerToken</t>
  </si>
  <si>
    <t>priceCachedPerToken</t>
  </si>
  <si>
    <t>Min Credit</t>
  </si>
  <si>
    <t>GSỉ OUT ($/1M)</t>
  </si>
  <si>
    <t>GSỉ IN ($/1M)</t>
  </si>
  <si>
    <t>GVốn IN (đ/1)</t>
  </si>
  <si>
    <t>GVốn OUT (đ/1)</t>
  </si>
  <si>
    <t>GBán IN (đ/1)</t>
  </si>
  <si>
    <t>Gbán OUT (đ/1)</t>
  </si>
  <si>
    <t>Biên lợi nhuận</t>
  </si>
  <si>
    <t>Max Context</t>
  </si>
  <si>
    <t>gpt-5.4-mini</t>
  </si>
  <si>
    <t>GSỉ Cache (($/1M)</t>
  </si>
  <si>
    <t>Gvon cache(đ/1)</t>
  </si>
  <si>
    <t>Gban Cache (đ/1)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</si>
</sst>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_(* #,##0_);_(* \(#,##0\);_(* &quot;-&quot;??_);_(@_)"/>
    <numFmt numFmtId="174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/>
    <xf numFmtId="0" fontId="4" fillId="2" borderId="1" xfId="0" applyFont="1" applyFill="1" applyBorder="1" applyAlignment="1">
      <alignment horizontal="left" vertical="center" wrapText="1" indent="1" readingOrder="1"/>
    </xf>
    <xf numFmtId="3" fontId="3" fillId="0" borderId="1" xfId="0" applyNumberFormat="1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169" fontId="5" fillId="0" borderId="1" xfId="1" applyNumberFormat="1" applyFont="1" applyBorder="1" applyAlignment="1">
      <alignment horizontal="center" vertical="center" wrapText="1" readingOrder="1"/>
    </xf>
    <xf numFmtId="9" fontId="3" fillId="0" borderId="1" xfId="0" applyNumberFormat="1" applyFont="1" applyBorder="1" applyAlignment="1">
      <alignment horizontal="center" vertical="center" wrapText="1" readingOrder="1"/>
    </xf>
    <xf numFmtId="174" fontId="5" fillId="0" borderId="1" xfId="0" applyNumberFormat="1" applyFont="1" applyBorder="1" applyAlignment="1">
      <alignment vertical="center" wrapText="1" readingOrder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1BBF-57C2-4BE6-8F6D-175762027F7D}">
  <dimension ref="A1:F7"/>
  <sheetViews>
    <sheetView workbookViewId="0">
      <selection activeCell="B1" sqref="B1"/>
    </sheetView>
  </sheetViews>
  <sheetFormatPr defaultRowHeight="14.4"/>
  <cols>
    <col min="1" max="1" width="17.21875" customWidth="1"/>
    <col min="2" max="2" width="13.77734375" customWidth="1"/>
    <col min="3" max="3" width="16" customWidth="1"/>
    <col min="4" max="4" width="9.109375" bestFit="1" customWidth="1"/>
    <col min="5" max="5" width="22.6640625" customWidth="1"/>
    <col min="6" max="6" width="19.5546875" customWidth="1"/>
  </cols>
  <sheetData>
    <row r="1" spans="1:6">
      <c r="A1" s="5" t="s">
        <v>10</v>
      </c>
      <c r="B1" s="2">
        <v>27000</v>
      </c>
    </row>
    <row r="2" spans="1:6">
      <c r="A2" s="5" t="s">
        <v>11</v>
      </c>
      <c r="B2" s="6">
        <v>25</v>
      </c>
      <c r="C2" t="s">
        <v>12</v>
      </c>
    </row>
    <row r="3" spans="1:6" ht="27.6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9" t="s">
        <v>5</v>
      </c>
    </row>
    <row r="4" spans="1:6">
      <c r="A4" s="10" t="s">
        <v>6</v>
      </c>
      <c r="B4" s="8">
        <v>50000</v>
      </c>
      <c r="C4" s="11">
        <f>B4/$B$2</f>
        <v>2000</v>
      </c>
      <c r="D4" s="12">
        <v>0</v>
      </c>
      <c r="E4" s="11">
        <f>C4+D4*C4</f>
        <v>2000</v>
      </c>
      <c r="F4" s="13">
        <f>B4/E4</f>
        <v>25</v>
      </c>
    </row>
    <row r="5" spans="1:6">
      <c r="A5" s="10" t="s">
        <v>7</v>
      </c>
      <c r="B5" s="8">
        <v>200000</v>
      </c>
      <c r="C5" s="11">
        <f t="shared" ref="C5:C7" si="0">B5/$B$2</f>
        <v>8000</v>
      </c>
      <c r="D5" s="12">
        <v>0.05</v>
      </c>
      <c r="E5" s="11">
        <f t="shared" ref="E5:E7" si="1">C5+D5*C5</f>
        <v>8400</v>
      </c>
      <c r="F5" s="13">
        <f t="shared" ref="F5:F7" si="2">B5/E5</f>
        <v>23.80952380952381</v>
      </c>
    </row>
    <row r="6" spans="1:6">
      <c r="A6" s="10" t="s">
        <v>8</v>
      </c>
      <c r="B6" s="8">
        <v>500000</v>
      </c>
      <c r="C6" s="11">
        <f t="shared" si="0"/>
        <v>20000</v>
      </c>
      <c r="D6" s="12">
        <v>0.1</v>
      </c>
      <c r="E6" s="11">
        <f t="shared" si="1"/>
        <v>22000</v>
      </c>
      <c r="F6" s="13">
        <f t="shared" si="2"/>
        <v>22.727272727272727</v>
      </c>
    </row>
    <row r="7" spans="1:6">
      <c r="A7" s="10" t="s">
        <v>9</v>
      </c>
      <c r="B7" s="8">
        <v>2000000</v>
      </c>
      <c r="C7" s="11">
        <f t="shared" si="0"/>
        <v>80000</v>
      </c>
      <c r="D7" s="12">
        <v>0.15</v>
      </c>
      <c r="E7" s="11">
        <f t="shared" si="1"/>
        <v>92000</v>
      </c>
      <c r="F7" s="13">
        <f t="shared" si="2"/>
        <v>21.739130434782609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3B8F-9FCA-4298-8A55-052794063237}">
  <dimension ref="A1:R20"/>
  <sheetViews>
    <sheetView tabSelected="1" topLeftCell="G1" workbookViewId="0">
      <selection activeCell="O24" sqref="O24"/>
    </sheetView>
  </sheetViews>
  <sheetFormatPr defaultRowHeight="14.4"/>
  <cols>
    <col min="1" max="1" width="10.88671875" bestFit="1" customWidth="1"/>
    <col min="2" max="2" width="7" bestFit="1" customWidth="1"/>
    <col min="3" max="3" width="12.44140625" bestFit="1" customWidth="1"/>
    <col min="4" max="4" width="16.44140625" bestFit="1" customWidth="1"/>
    <col min="5" max="5" width="14.33203125" bestFit="1" customWidth="1"/>
    <col min="6" max="6" width="7.88671875" bestFit="1" customWidth="1"/>
    <col min="7" max="7" width="12.77734375" bestFit="1" customWidth="1"/>
    <col min="8" max="8" width="15.21875" bestFit="1" customWidth="1"/>
    <col min="9" max="9" width="14.6640625" bestFit="1" customWidth="1"/>
    <col min="10" max="10" width="12.5546875" bestFit="1" customWidth="1"/>
    <col min="11" max="11" width="12.5546875" customWidth="1"/>
    <col min="12" max="12" width="14.44140625" bestFit="1" customWidth="1"/>
    <col min="13" max="13" width="14.88671875" bestFit="1" customWidth="1"/>
    <col min="14" max="14" width="16.33203125" bestFit="1" customWidth="1"/>
    <col min="15" max="15" width="19.5546875" bestFit="1" customWidth="1"/>
    <col min="16" max="16" width="11.6640625" bestFit="1" customWidth="1"/>
    <col min="17" max="17" width="9.77734375" bestFit="1" customWidth="1"/>
    <col min="18" max="18" width="13.21875" bestFit="1" customWidth="1"/>
  </cols>
  <sheetData>
    <row r="1" spans="1:18">
      <c r="A1" s="1" t="s">
        <v>13</v>
      </c>
      <c r="B1" s="1" t="s">
        <v>15</v>
      </c>
      <c r="C1" s="1" t="s">
        <v>23</v>
      </c>
      <c r="D1" s="1" t="s">
        <v>31</v>
      </c>
      <c r="E1" s="1" t="s">
        <v>22</v>
      </c>
      <c r="F1" s="1" t="s">
        <v>14</v>
      </c>
      <c r="G1" s="15" t="s">
        <v>24</v>
      </c>
      <c r="H1" s="15" t="s">
        <v>32</v>
      </c>
      <c r="I1" s="15" t="s">
        <v>25</v>
      </c>
      <c r="J1" s="14" t="s">
        <v>26</v>
      </c>
      <c r="K1" s="14" t="s">
        <v>33</v>
      </c>
      <c r="L1" s="14" t="s">
        <v>27</v>
      </c>
      <c r="M1" s="1" t="s">
        <v>18</v>
      </c>
      <c r="N1" s="1" t="s">
        <v>20</v>
      </c>
      <c r="O1" s="1" t="s">
        <v>19</v>
      </c>
      <c r="P1" s="1" t="s">
        <v>29</v>
      </c>
      <c r="Q1" s="1" t="s">
        <v>21</v>
      </c>
      <c r="R1" s="1" t="s">
        <v>28</v>
      </c>
    </row>
    <row r="2" spans="1:18">
      <c r="A2" s="2" t="s">
        <v>16</v>
      </c>
      <c r="B2" s="2" t="s">
        <v>17</v>
      </c>
      <c r="C2" s="3">
        <v>0.15</v>
      </c>
      <c r="D2" s="3">
        <v>0.08</v>
      </c>
      <c r="E2" s="3">
        <v>0.6</v>
      </c>
      <c r="F2" s="3">
        <v>1.5</v>
      </c>
      <c r="G2" s="3">
        <f>C2*Sheet1!$B$1/1000000</f>
        <v>4.0499999999999998E-3</v>
      </c>
      <c r="H2" s="3">
        <f>D2*Sheet1!$B$1/1000000</f>
        <v>2.16E-3</v>
      </c>
      <c r="I2" s="3">
        <f>E2*Sheet1!$B$1/1000000</f>
        <v>1.6199999999999999E-2</v>
      </c>
      <c r="J2" s="3">
        <f>G2*F2</f>
        <v>6.0749999999999997E-3</v>
      </c>
      <c r="K2" s="3">
        <f>H2*F2</f>
        <v>3.2399999999999998E-3</v>
      </c>
      <c r="L2" s="3">
        <f>I2*F2</f>
        <v>2.4299999999999999E-2</v>
      </c>
      <c r="M2" s="3">
        <f>J2/Sheet1!$B$2</f>
        <v>2.43E-4</v>
      </c>
      <c r="N2" s="3">
        <f>K2/Sheet1!$B$2</f>
        <v>1.2960000000000001E-4</v>
      </c>
      <c r="O2" s="3">
        <f>L2/Sheet1!$B$2</f>
        <v>9.7199999999999999E-4</v>
      </c>
      <c r="P2" s="3">
        <v>128000</v>
      </c>
      <c r="Q2" s="3">
        <f>ROUND(P2*M2*0.5,0)</f>
        <v>16</v>
      </c>
      <c r="R2" s="4">
        <f>(J2-G2)/J2</f>
        <v>0.33333333333333331</v>
      </c>
    </row>
    <row r="3" spans="1:18">
      <c r="A3" t="s">
        <v>30</v>
      </c>
      <c r="B3" s="2" t="s">
        <v>17</v>
      </c>
      <c r="C3" s="3">
        <v>0.75</v>
      </c>
      <c r="D3" s="3">
        <v>0.08</v>
      </c>
      <c r="E3" s="3">
        <v>4.5</v>
      </c>
      <c r="F3" s="3">
        <v>1.3</v>
      </c>
      <c r="G3" s="3">
        <f>C3*Sheet1!$B$1/1000000</f>
        <v>2.0250000000000001E-2</v>
      </c>
      <c r="H3" s="3">
        <f>D3*Sheet1!$B$1/1000000</f>
        <v>2.16E-3</v>
      </c>
      <c r="I3" s="3">
        <f>E3*Sheet1!$B$1/1000000</f>
        <v>0.1215</v>
      </c>
      <c r="J3" s="3">
        <f>G3*F3</f>
        <v>2.6325000000000001E-2</v>
      </c>
      <c r="K3" s="3">
        <f t="shared" ref="K3:K20" si="0">H3*F3</f>
        <v>2.8080000000000002E-3</v>
      </c>
      <c r="L3" s="3">
        <f t="shared" ref="L3:L20" si="1">I3*F3</f>
        <v>0.15795000000000001</v>
      </c>
      <c r="M3" s="3">
        <f>J3/Sheet1!$B$2</f>
        <v>1.0530000000000001E-3</v>
      </c>
      <c r="N3" s="3">
        <f>K3/Sheet1!$B$2</f>
        <v>1.1232000000000001E-4</v>
      </c>
      <c r="O3" s="3">
        <f>L3/Sheet1!$B$2</f>
        <v>6.3180000000000007E-3</v>
      </c>
      <c r="P3" s="3">
        <v>400000</v>
      </c>
      <c r="Q3" s="3">
        <f t="shared" ref="Q3:Q20" si="2">ROUND(P3*M3*0.5,0)</f>
        <v>211</v>
      </c>
      <c r="R3" s="4">
        <f t="shared" ref="R3:R20" si="3">(J3-G3)/J3</f>
        <v>0.23076923076923078</v>
      </c>
    </row>
    <row r="4" spans="1:18">
      <c r="B4" s="2" t="s">
        <v>17</v>
      </c>
      <c r="C4" s="3"/>
      <c r="D4" s="3"/>
      <c r="E4" s="3"/>
      <c r="F4" s="3"/>
      <c r="G4" s="3">
        <f>C4*Sheet1!$B$1/1000000</f>
        <v>0</v>
      </c>
      <c r="H4" s="3">
        <f>D4*Sheet1!$B$1/1000000</f>
        <v>0</v>
      </c>
      <c r="I4" s="3">
        <f>E4*Sheet1!$B$1/1000000</f>
        <v>0</v>
      </c>
      <c r="J4" s="3">
        <f t="shared" ref="J3:J20" si="4">G4*F4</f>
        <v>0</v>
      </c>
      <c r="K4" s="3">
        <f t="shared" si="0"/>
        <v>0</v>
      </c>
      <c r="L4" s="3">
        <f t="shared" si="1"/>
        <v>0</v>
      </c>
      <c r="M4" s="3">
        <f>J4/Sheet1!$B$2</f>
        <v>0</v>
      </c>
      <c r="N4" s="3">
        <f>K4/Sheet1!$B$2</f>
        <v>0</v>
      </c>
      <c r="O4" s="3">
        <f>L4/Sheet1!$B$2</f>
        <v>0</v>
      </c>
      <c r="P4" s="3"/>
      <c r="Q4" s="3">
        <f t="shared" si="2"/>
        <v>0</v>
      </c>
      <c r="R4" s="4" t="e">
        <f t="shared" si="3"/>
        <v>#DIV/0!</v>
      </c>
    </row>
    <row r="5" spans="1:18">
      <c r="B5" s="2" t="s">
        <v>17</v>
      </c>
      <c r="C5" s="3"/>
      <c r="D5" s="3"/>
      <c r="E5" s="3"/>
      <c r="F5" s="3"/>
      <c r="G5" s="3">
        <f>C5*Sheet1!$B$1/1000000</f>
        <v>0</v>
      </c>
      <c r="H5" s="3">
        <f>D5*Sheet1!$B$1/1000000</f>
        <v>0</v>
      </c>
      <c r="I5" s="3">
        <f>E5*Sheet1!$B$1/1000000</f>
        <v>0</v>
      </c>
      <c r="J5" s="3">
        <f t="shared" si="4"/>
        <v>0</v>
      </c>
      <c r="K5" s="3">
        <f t="shared" si="0"/>
        <v>0</v>
      </c>
      <c r="L5" s="3">
        <f t="shared" si="1"/>
        <v>0</v>
      </c>
      <c r="M5" s="3">
        <f>J5/Sheet1!$B$2</f>
        <v>0</v>
      </c>
      <c r="N5" s="3">
        <f>K5/Sheet1!$B$2</f>
        <v>0</v>
      </c>
      <c r="O5" s="3">
        <f>L5/Sheet1!$B$2</f>
        <v>0</v>
      </c>
      <c r="P5" s="3"/>
      <c r="Q5" s="3">
        <f t="shared" si="2"/>
        <v>0</v>
      </c>
      <c r="R5" s="4" t="e">
        <f t="shared" si="3"/>
        <v>#DIV/0!</v>
      </c>
    </row>
    <row r="6" spans="1:18">
      <c r="B6" s="2" t="s">
        <v>17</v>
      </c>
      <c r="C6" s="3"/>
      <c r="D6" s="3"/>
      <c r="E6" s="3"/>
      <c r="F6" s="3"/>
      <c r="G6" s="3">
        <f>C6*Sheet1!$B$1/1000000</f>
        <v>0</v>
      </c>
      <c r="H6" s="3">
        <f>D6*Sheet1!$B$1/1000000</f>
        <v>0</v>
      </c>
      <c r="I6" s="3">
        <f>E6*Sheet1!$B$1/1000000</f>
        <v>0</v>
      </c>
      <c r="J6" s="3">
        <f t="shared" si="4"/>
        <v>0</v>
      </c>
      <c r="K6" s="3">
        <f t="shared" si="0"/>
        <v>0</v>
      </c>
      <c r="L6" s="3">
        <f t="shared" si="1"/>
        <v>0</v>
      </c>
      <c r="M6" s="3">
        <f>J6/Sheet1!$B$2</f>
        <v>0</v>
      </c>
      <c r="N6" s="3">
        <f>K6/Sheet1!$B$2</f>
        <v>0</v>
      </c>
      <c r="O6" s="3">
        <f>L6/Sheet1!$B$2</f>
        <v>0</v>
      </c>
      <c r="P6" s="3"/>
      <c r="Q6" s="3">
        <f t="shared" si="2"/>
        <v>0</v>
      </c>
      <c r="R6" s="4" t="e">
        <f t="shared" si="3"/>
        <v>#DIV/0!</v>
      </c>
    </row>
    <row r="7" spans="1:18">
      <c r="B7" s="2" t="s">
        <v>17</v>
      </c>
      <c r="C7" s="3"/>
      <c r="D7" s="3"/>
      <c r="E7" s="3"/>
      <c r="F7" s="3"/>
      <c r="G7" s="3">
        <f>C7*Sheet1!$B$1/1000000</f>
        <v>0</v>
      </c>
      <c r="H7" s="3">
        <f>D7*Sheet1!$B$1/1000000</f>
        <v>0</v>
      </c>
      <c r="I7" s="3">
        <f>E7*Sheet1!$B$1/1000000</f>
        <v>0</v>
      </c>
      <c r="J7" s="3">
        <f t="shared" si="4"/>
        <v>0</v>
      </c>
      <c r="K7" s="3">
        <f t="shared" si="0"/>
        <v>0</v>
      </c>
      <c r="L7" s="3">
        <f t="shared" si="1"/>
        <v>0</v>
      </c>
      <c r="M7" s="3">
        <f>J7/Sheet1!$B$2</f>
        <v>0</v>
      </c>
      <c r="N7" s="3">
        <f>K7/Sheet1!$B$2</f>
        <v>0</v>
      </c>
      <c r="O7" s="3">
        <f>L7/Sheet1!$B$2</f>
        <v>0</v>
      </c>
      <c r="P7" s="3"/>
      <c r="Q7" s="3">
        <f t="shared" si="2"/>
        <v>0</v>
      </c>
      <c r="R7" s="4" t="e">
        <f t="shared" si="3"/>
        <v>#DIV/0!</v>
      </c>
    </row>
    <row r="8" spans="1:18">
      <c r="B8" s="2" t="s">
        <v>17</v>
      </c>
      <c r="C8" s="3"/>
      <c r="D8" s="3"/>
      <c r="E8" s="3"/>
      <c r="F8" s="3"/>
      <c r="G8" s="3">
        <f>C8*Sheet1!$B$1/1000000</f>
        <v>0</v>
      </c>
      <c r="H8" s="3">
        <f>D8*Sheet1!$B$1/1000000</f>
        <v>0</v>
      </c>
      <c r="I8" s="3">
        <f>E8*Sheet1!$B$1/1000000</f>
        <v>0</v>
      </c>
      <c r="J8" s="3">
        <f t="shared" si="4"/>
        <v>0</v>
      </c>
      <c r="K8" s="3">
        <f t="shared" si="0"/>
        <v>0</v>
      </c>
      <c r="L8" s="3">
        <f t="shared" si="1"/>
        <v>0</v>
      </c>
      <c r="M8" s="3">
        <f>J8/Sheet1!$B$2</f>
        <v>0</v>
      </c>
      <c r="N8" s="3">
        <f>K8/Sheet1!$B$2</f>
        <v>0</v>
      </c>
      <c r="O8" s="3">
        <f>L8/Sheet1!$B$2</f>
        <v>0</v>
      </c>
      <c r="P8" s="3"/>
      <c r="Q8" s="3">
        <f t="shared" si="2"/>
        <v>0</v>
      </c>
      <c r="R8" s="4" t="e">
        <f t="shared" si="3"/>
        <v>#DIV/0!</v>
      </c>
    </row>
    <row r="9" spans="1:18">
      <c r="B9" s="2" t="s">
        <v>17</v>
      </c>
      <c r="C9" s="3"/>
      <c r="D9" s="3"/>
      <c r="E9" s="3"/>
      <c r="F9" s="3"/>
      <c r="G9" s="3">
        <f>C9*Sheet1!$B$1/1000000</f>
        <v>0</v>
      </c>
      <c r="H9" s="3">
        <f>D9*Sheet1!$B$1/1000000</f>
        <v>0</v>
      </c>
      <c r="I9" s="3">
        <f>E9*Sheet1!$B$1/1000000</f>
        <v>0</v>
      </c>
      <c r="J9" s="3">
        <f t="shared" si="4"/>
        <v>0</v>
      </c>
      <c r="K9" s="3">
        <f t="shared" si="0"/>
        <v>0</v>
      </c>
      <c r="L9" s="3">
        <f t="shared" si="1"/>
        <v>0</v>
      </c>
      <c r="M9" s="3">
        <f>J9/Sheet1!$B$2</f>
        <v>0</v>
      </c>
      <c r="N9" s="3">
        <f>K9/Sheet1!$B$2</f>
        <v>0</v>
      </c>
      <c r="O9" s="3">
        <f>L9/Sheet1!$B$2</f>
        <v>0</v>
      </c>
      <c r="P9" s="3"/>
      <c r="Q9" s="3">
        <f t="shared" si="2"/>
        <v>0</v>
      </c>
      <c r="R9" s="4" t="e">
        <f t="shared" si="3"/>
        <v>#DIV/0!</v>
      </c>
    </row>
    <row r="10" spans="1:18">
      <c r="B10" s="2" t="s">
        <v>17</v>
      </c>
      <c r="C10" s="3"/>
      <c r="D10" s="3"/>
      <c r="E10" s="3"/>
      <c r="F10" s="3"/>
      <c r="G10" s="3">
        <f>C10*Sheet1!$B$1/1000000</f>
        <v>0</v>
      </c>
      <c r="H10" s="3">
        <f>D10*Sheet1!$B$1/1000000</f>
        <v>0</v>
      </c>
      <c r="I10" s="3">
        <f>E10*Sheet1!$B$1/1000000</f>
        <v>0</v>
      </c>
      <c r="J10" s="3">
        <f t="shared" si="4"/>
        <v>0</v>
      </c>
      <c r="K10" s="3">
        <f t="shared" si="0"/>
        <v>0</v>
      </c>
      <c r="L10" s="3">
        <f t="shared" si="1"/>
        <v>0</v>
      </c>
      <c r="M10" s="3">
        <f>J10/Sheet1!$B$2</f>
        <v>0</v>
      </c>
      <c r="N10" s="3">
        <f>K10/Sheet1!$B$2</f>
        <v>0</v>
      </c>
      <c r="O10" s="3">
        <f>L10/Sheet1!$B$2</f>
        <v>0</v>
      </c>
      <c r="P10" s="3"/>
      <c r="Q10" s="3">
        <f t="shared" si="2"/>
        <v>0</v>
      </c>
      <c r="R10" s="4" t="e">
        <f t="shared" si="3"/>
        <v>#DIV/0!</v>
      </c>
    </row>
    <row r="11" spans="1:18">
      <c r="B11" s="2" t="s">
        <v>17</v>
      </c>
      <c r="C11" s="3"/>
      <c r="D11" s="3"/>
      <c r="E11" s="3"/>
      <c r="F11" s="3"/>
      <c r="G11" s="3">
        <f>C11*Sheet1!$B$1/1000000</f>
        <v>0</v>
      </c>
      <c r="H11" s="3">
        <f>D11*Sheet1!$B$1/1000000</f>
        <v>0</v>
      </c>
      <c r="I11" s="3">
        <f>E11*Sheet1!$B$1/1000000</f>
        <v>0</v>
      </c>
      <c r="J11" s="3">
        <f t="shared" si="4"/>
        <v>0</v>
      </c>
      <c r="K11" s="3">
        <f t="shared" si="0"/>
        <v>0</v>
      </c>
      <c r="L11" s="3">
        <f t="shared" si="1"/>
        <v>0</v>
      </c>
      <c r="M11" s="3">
        <f>J11/Sheet1!$B$2</f>
        <v>0</v>
      </c>
      <c r="N11" s="3">
        <f>K11/Sheet1!$B$2</f>
        <v>0</v>
      </c>
      <c r="O11" s="3">
        <f>L11/Sheet1!$B$2</f>
        <v>0</v>
      </c>
      <c r="P11" s="3"/>
      <c r="Q11" s="3">
        <f t="shared" si="2"/>
        <v>0</v>
      </c>
      <c r="R11" s="4" t="e">
        <f t="shared" si="3"/>
        <v>#DIV/0!</v>
      </c>
    </row>
    <row r="12" spans="1:18">
      <c r="B12" s="2" t="s">
        <v>17</v>
      </c>
      <c r="C12" s="3"/>
      <c r="D12" s="3"/>
      <c r="E12" s="3"/>
      <c r="F12" s="3"/>
      <c r="G12" s="3">
        <f>C12*Sheet1!$B$1/1000000</f>
        <v>0</v>
      </c>
      <c r="H12" s="3">
        <f>D12*Sheet1!$B$1/1000000</f>
        <v>0</v>
      </c>
      <c r="I12" s="3">
        <f>E12*Sheet1!$B$1/1000000</f>
        <v>0</v>
      </c>
      <c r="J12" s="3">
        <f t="shared" si="4"/>
        <v>0</v>
      </c>
      <c r="K12" s="3">
        <f t="shared" si="0"/>
        <v>0</v>
      </c>
      <c r="L12" s="3">
        <f t="shared" si="1"/>
        <v>0</v>
      </c>
      <c r="M12" s="3">
        <f>J12/Sheet1!$B$2</f>
        <v>0</v>
      </c>
      <c r="N12" s="3">
        <f>K12/Sheet1!$B$2</f>
        <v>0</v>
      </c>
      <c r="O12" s="3">
        <f>L12/Sheet1!$B$2</f>
        <v>0</v>
      </c>
      <c r="P12" s="3"/>
      <c r="Q12" s="3">
        <f t="shared" si="2"/>
        <v>0</v>
      </c>
      <c r="R12" s="4" t="e">
        <f t="shared" si="3"/>
        <v>#DIV/0!</v>
      </c>
    </row>
    <row r="13" spans="1:18">
      <c r="B13" s="2" t="s">
        <v>17</v>
      </c>
      <c r="C13" s="3"/>
      <c r="D13" s="3"/>
      <c r="E13" s="3"/>
      <c r="F13" s="3"/>
      <c r="G13" s="3">
        <f>C13*Sheet1!$B$1/1000000</f>
        <v>0</v>
      </c>
      <c r="H13" s="3">
        <f>D13*Sheet1!$B$1/1000000</f>
        <v>0</v>
      </c>
      <c r="I13" s="3">
        <f>E13*Sheet1!$B$1/1000000</f>
        <v>0</v>
      </c>
      <c r="J13" s="3">
        <f t="shared" si="4"/>
        <v>0</v>
      </c>
      <c r="K13" s="3">
        <f t="shared" si="0"/>
        <v>0</v>
      </c>
      <c r="L13" s="3">
        <f t="shared" si="1"/>
        <v>0</v>
      </c>
      <c r="M13" s="3">
        <f>J13/Sheet1!$B$2</f>
        <v>0</v>
      </c>
      <c r="N13" s="3">
        <f>K13/Sheet1!$B$2</f>
        <v>0</v>
      </c>
      <c r="O13" s="3">
        <f>L13/Sheet1!$B$2</f>
        <v>0</v>
      </c>
      <c r="P13" s="3"/>
      <c r="Q13" s="3">
        <f t="shared" si="2"/>
        <v>0</v>
      </c>
      <c r="R13" s="4" t="e">
        <f t="shared" si="3"/>
        <v>#DIV/0!</v>
      </c>
    </row>
    <row r="14" spans="1:18">
      <c r="B14" s="2" t="s">
        <v>17</v>
      </c>
      <c r="C14" s="3"/>
      <c r="D14" s="3"/>
      <c r="E14" s="3"/>
      <c r="F14" s="3"/>
      <c r="G14" s="3">
        <f>C14*Sheet1!$B$1/1000000</f>
        <v>0</v>
      </c>
      <c r="H14" s="3">
        <f>D14*Sheet1!$B$1/1000000</f>
        <v>0</v>
      </c>
      <c r="I14" s="3">
        <f>E14*Sheet1!$B$1/1000000</f>
        <v>0</v>
      </c>
      <c r="J14" s="3">
        <f t="shared" si="4"/>
        <v>0</v>
      </c>
      <c r="K14" s="3">
        <f t="shared" si="0"/>
        <v>0</v>
      </c>
      <c r="L14" s="3">
        <f t="shared" si="1"/>
        <v>0</v>
      </c>
      <c r="M14" s="3">
        <f>J14/Sheet1!$B$2</f>
        <v>0</v>
      </c>
      <c r="N14" s="3">
        <f>K14/Sheet1!$B$2</f>
        <v>0</v>
      </c>
      <c r="O14" s="3">
        <f>L14/Sheet1!$B$2</f>
        <v>0</v>
      </c>
      <c r="P14" s="3"/>
      <c r="Q14" s="3">
        <f t="shared" si="2"/>
        <v>0</v>
      </c>
      <c r="R14" s="4" t="e">
        <f t="shared" si="3"/>
        <v>#DIV/0!</v>
      </c>
    </row>
    <row r="15" spans="1:18">
      <c r="B15" s="2" t="s">
        <v>17</v>
      </c>
      <c r="C15" s="3"/>
      <c r="D15" s="3"/>
      <c r="E15" s="3"/>
      <c r="F15" s="3"/>
      <c r="G15" s="3">
        <f>C15*Sheet1!$B$1/1000000</f>
        <v>0</v>
      </c>
      <c r="H15" s="3">
        <f>D15*Sheet1!$B$1/1000000</f>
        <v>0</v>
      </c>
      <c r="I15" s="3">
        <f>E15*Sheet1!$B$1/1000000</f>
        <v>0</v>
      </c>
      <c r="J15" s="3">
        <f t="shared" si="4"/>
        <v>0</v>
      </c>
      <c r="K15" s="3">
        <f t="shared" si="0"/>
        <v>0</v>
      </c>
      <c r="L15" s="3">
        <f t="shared" si="1"/>
        <v>0</v>
      </c>
      <c r="M15" s="3">
        <f>J15/Sheet1!$B$2</f>
        <v>0</v>
      </c>
      <c r="N15" s="3">
        <f>K15/Sheet1!$B$2</f>
        <v>0</v>
      </c>
      <c r="O15" s="3">
        <f>L15/Sheet1!$B$2</f>
        <v>0</v>
      </c>
      <c r="P15" s="3"/>
      <c r="Q15" s="3">
        <f t="shared" si="2"/>
        <v>0</v>
      </c>
      <c r="R15" s="4" t="e">
        <f t="shared" si="3"/>
        <v>#DIV/0!</v>
      </c>
    </row>
    <row r="16" spans="1:18">
      <c r="B16" s="2" t="s">
        <v>17</v>
      </c>
      <c r="C16" s="3"/>
      <c r="D16" s="3"/>
      <c r="E16" s="3"/>
      <c r="F16" s="3"/>
      <c r="G16" s="3">
        <f>C16*Sheet1!$B$1/1000000</f>
        <v>0</v>
      </c>
      <c r="H16" s="3">
        <f>D16*Sheet1!$B$1/1000000</f>
        <v>0</v>
      </c>
      <c r="I16" s="3">
        <f>E16*Sheet1!$B$1/1000000</f>
        <v>0</v>
      </c>
      <c r="J16" s="3">
        <f t="shared" si="4"/>
        <v>0</v>
      </c>
      <c r="K16" s="3">
        <f t="shared" si="0"/>
        <v>0</v>
      </c>
      <c r="L16" s="3">
        <f t="shared" si="1"/>
        <v>0</v>
      </c>
      <c r="M16" s="3">
        <f>J16/Sheet1!$B$2</f>
        <v>0</v>
      </c>
      <c r="N16" s="3">
        <f>K16/Sheet1!$B$2</f>
        <v>0</v>
      </c>
      <c r="O16" s="3">
        <f>L16/Sheet1!$B$2</f>
        <v>0</v>
      </c>
      <c r="P16" s="3"/>
      <c r="Q16" s="3">
        <f t="shared" si="2"/>
        <v>0</v>
      </c>
      <c r="R16" s="4" t="e">
        <f t="shared" si="3"/>
        <v>#DIV/0!</v>
      </c>
    </row>
    <row r="17" spans="2:18">
      <c r="B17" s="2" t="s">
        <v>17</v>
      </c>
      <c r="C17" s="3"/>
      <c r="D17" s="3"/>
      <c r="E17" s="3"/>
      <c r="F17" s="3"/>
      <c r="G17" s="3">
        <f>C17*Sheet1!$B$1/1000000</f>
        <v>0</v>
      </c>
      <c r="H17" s="3">
        <f>D17*Sheet1!$B$1/1000000</f>
        <v>0</v>
      </c>
      <c r="I17" s="3">
        <f>E17*Sheet1!$B$1/1000000</f>
        <v>0</v>
      </c>
      <c r="J17" s="3">
        <f t="shared" si="4"/>
        <v>0</v>
      </c>
      <c r="K17" s="3">
        <f t="shared" si="0"/>
        <v>0</v>
      </c>
      <c r="L17" s="3">
        <f t="shared" si="1"/>
        <v>0</v>
      </c>
      <c r="M17" s="3">
        <f>J17/Sheet1!$B$2</f>
        <v>0</v>
      </c>
      <c r="N17" s="3">
        <f>K17/Sheet1!$B$2</f>
        <v>0</v>
      </c>
      <c r="O17" s="3">
        <f>L17/Sheet1!$B$2</f>
        <v>0</v>
      </c>
      <c r="P17" s="3"/>
      <c r="Q17" s="3">
        <f t="shared" si="2"/>
        <v>0</v>
      </c>
      <c r="R17" s="4" t="e">
        <f t="shared" si="3"/>
        <v>#DIV/0!</v>
      </c>
    </row>
    <row r="18" spans="2:18">
      <c r="B18" s="2" t="s">
        <v>17</v>
      </c>
      <c r="C18" s="3"/>
      <c r="D18" s="3"/>
      <c r="E18" s="3"/>
      <c r="F18" s="3"/>
      <c r="G18" s="3">
        <f>C18*Sheet1!$B$1/1000000</f>
        <v>0</v>
      </c>
      <c r="H18" s="3">
        <f>D18*Sheet1!$B$1/1000000</f>
        <v>0</v>
      </c>
      <c r="I18" s="3">
        <f>E18*Sheet1!$B$1/1000000</f>
        <v>0</v>
      </c>
      <c r="J18" s="3">
        <f t="shared" si="4"/>
        <v>0</v>
      </c>
      <c r="K18" s="3">
        <f t="shared" si="0"/>
        <v>0</v>
      </c>
      <c r="L18" s="3">
        <f t="shared" si="1"/>
        <v>0</v>
      </c>
      <c r="M18" s="3">
        <f>J18/Sheet1!$B$2</f>
        <v>0</v>
      </c>
      <c r="N18" s="3">
        <f>K18/Sheet1!$B$2</f>
        <v>0</v>
      </c>
      <c r="O18" s="3">
        <f>L18/Sheet1!$B$2</f>
        <v>0</v>
      </c>
      <c r="P18" s="3"/>
      <c r="Q18" s="3">
        <f t="shared" si="2"/>
        <v>0</v>
      </c>
      <c r="R18" s="4" t="e">
        <f t="shared" si="3"/>
        <v>#DIV/0!</v>
      </c>
    </row>
    <row r="19" spans="2:18">
      <c r="B19" s="2" t="s">
        <v>17</v>
      </c>
      <c r="C19" s="3"/>
      <c r="D19" s="3"/>
      <c r="E19" s="3"/>
      <c r="F19" s="3"/>
      <c r="G19" s="3">
        <f>C19*Sheet1!$B$1/1000000</f>
        <v>0</v>
      </c>
      <c r="H19" s="3">
        <f>D19*Sheet1!$B$1/1000000</f>
        <v>0</v>
      </c>
      <c r="I19" s="3">
        <f>E19*Sheet1!$B$1/1000000</f>
        <v>0</v>
      </c>
      <c r="J19" s="3">
        <f t="shared" si="4"/>
        <v>0</v>
      </c>
      <c r="K19" s="3">
        <f t="shared" si="0"/>
        <v>0</v>
      </c>
      <c r="L19" s="3">
        <f t="shared" si="1"/>
        <v>0</v>
      </c>
      <c r="M19" s="3">
        <f>J19/Sheet1!$B$2</f>
        <v>0</v>
      </c>
      <c r="N19" s="3">
        <f>K19/Sheet1!$B$2</f>
        <v>0</v>
      </c>
      <c r="O19" s="3">
        <f>L19/Sheet1!$B$2</f>
        <v>0</v>
      </c>
      <c r="P19" s="3"/>
      <c r="Q19" s="3">
        <f t="shared" si="2"/>
        <v>0</v>
      </c>
      <c r="R19" s="4" t="e">
        <f t="shared" si="3"/>
        <v>#DIV/0!</v>
      </c>
    </row>
    <row r="20" spans="2:18">
      <c r="B20" s="2" t="s">
        <v>17</v>
      </c>
      <c r="C20" s="3"/>
      <c r="D20" s="3"/>
      <c r="E20" s="3"/>
      <c r="F20" s="3"/>
      <c r="G20" s="3">
        <f>C20*Sheet1!$B$1/1000000</f>
        <v>0</v>
      </c>
      <c r="H20" s="3">
        <f>D20*Sheet1!$B$1/1000000</f>
        <v>0</v>
      </c>
      <c r="I20" s="3">
        <f>E20*Sheet1!$B$1/1000000</f>
        <v>0</v>
      </c>
      <c r="J20" s="3">
        <f t="shared" si="4"/>
        <v>0</v>
      </c>
      <c r="K20" s="3">
        <f t="shared" si="0"/>
        <v>0</v>
      </c>
      <c r="L20" s="3">
        <f t="shared" si="1"/>
        <v>0</v>
      </c>
      <c r="M20" s="3">
        <f>J20/Sheet1!$B$2</f>
        <v>0</v>
      </c>
      <c r="N20" s="3">
        <f>K20/Sheet1!$B$2</f>
        <v>0</v>
      </c>
      <c r="O20" s="3">
        <f>L20/Sheet1!$B$2</f>
        <v>0</v>
      </c>
      <c r="P20" s="3"/>
      <c r="Q20" s="3">
        <f t="shared" si="2"/>
        <v>0</v>
      </c>
      <c r="R20" s="4" t="e">
        <f t="shared" si="3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Nin</dc:creator>
  <cp:lastModifiedBy>Bùi VĂn Nin</cp:lastModifiedBy>
  <dcterms:created xsi:type="dcterms:W3CDTF">2026-03-20T14:23:18Z</dcterms:created>
  <dcterms:modified xsi:type="dcterms:W3CDTF">2026-03-21T18:03:29Z</dcterms:modified>
</cp:coreProperties>
</file>